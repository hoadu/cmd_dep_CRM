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Drive\BCS\CRM\cmd_dep_CRM\"/>
    </mc:Choice>
  </mc:AlternateContent>
  <bookViews>
    <workbookView xWindow="-5370" yWindow="-21150" windowWidth="38400" windowHeight="21150" tabRatio="500"/>
  </bookViews>
  <sheets>
    <sheet name="management" sheetId="1" r:id="rId1"/>
    <sheet name="branches_report" sheetId="4" r:id="rId2"/>
    <sheet name="clients" sheetId="5" r:id="rId3"/>
    <sheet name="source" sheetId="3" state="hidden" r:id="rId4"/>
  </sheets>
  <functionGroups builtInGroupCount="18"/>
  <definedNames>
    <definedName name="_xlnm._FilterDatabase" localSheetId="1" hidden="1">branches_report!$A$8:$E$8</definedName>
    <definedName name="_xlnm._FilterDatabase" localSheetId="2" hidden="1">clients!$A$7:$L$7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0" i="1" l="1"/>
  <c r="A17" i="1"/>
  <c r="A28" i="1" l="1"/>
  <c r="A3" i="1" l="1"/>
</calcChain>
</file>

<file path=xl/comments1.xml><?xml version="1.0" encoding="utf-8"?>
<comments xmlns="http://schemas.openxmlformats.org/spreadsheetml/2006/main">
  <authors>
    <author>Milovanoff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Milovanoff:</t>
        </r>
        <r>
          <rPr>
            <sz val="9"/>
            <color indexed="81"/>
            <rFont val="Tahoma"/>
            <family val="2"/>
            <charset val="204"/>
          </rPr>
          <t xml:space="preserve">
Узнать ОКПО можно по ссылке.</t>
        </r>
      </text>
    </comment>
  </commentList>
</comments>
</file>

<file path=xl/sharedStrings.xml><?xml version="1.0" encoding="utf-8"?>
<sst xmlns="http://schemas.openxmlformats.org/spreadsheetml/2006/main" count="105" uniqueCount="74">
  <si>
    <t>Дата и время создания:</t>
  </si>
  <si>
    <t>Москва</t>
  </si>
  <si>
    <t>БО н/п</t>
  </si>
  <si>
    <t>Создать нового клиента</t>
  </si>
  <si>
    <t>Первичные переговоры</t>
  </si>
  <si>
    <t>Встреча</t>
  </si>
  <si>
    <t>Комплаенс</t>
  </si>
  <si>
    <t>Задать период</t>
  </si>
  <si>
    <t>Дата и время обновления:</t>
  </si>
  <si>
    <t>Менеджер:</t>
  </si>
  <si>
    <t>Создать контакт</t>
  </si>
  <si>
    <t>Назначить клиенту контакт</t>
  </si>
  <si>
    <t>Фамилия:</t>
  </si>
  <si>
    <t>Отчество:</t>
  </si>
  <si>
    <t>Email:</t>
  </si>
  <si>
    <t>Клиент:</t>
  </si>
  <si>
    <t>Филиал</t>
  </si>
  <si>
    <t>Статус</t>
  </si>
  <si>
    <t>Количество</t>
  </si>
  <si>
    <t>Дата</t>
  </si>
  <si>
    <t>Комментарий:</t>
  </si>
  <si>
    <t>ОКПО*:</t>
  </si>
  <si>
    <t>Филиал*:</t>
  </si>
  <si>
    <t>Название*:</t>
  </si>
  <si>
    <t>Клиент*:</t>
  </si>
  <si>
    <t>Продукт*:</t>
  </si>
  <si>
    <t>Имя*:</t>
  </si>
  <si>
    <t>Контакт:</t>
  </si>
  <si>
    <t>Продукт</t>
  </si>
  <si>
    <t>Отчет по филиалам</t>
  </si>
  <si>
    <t>Начало*:</t>
  </si>
  <si>
    <t>Окончание*:</t>
  </si>
  <si>
    <t>Обращений за период</t>
  </si>
  <si>
    <t>Обращений</t>
  </si>
  <si>
    <t>БО зерно</t>
  </si>
  <si>
    <t>свопы н/п</t>
  </si>
  <si>
    <t>Отказ от сотрудничества</t>
  </si>
  <si>
    <t>Новосибирск</t>
  </si>
  <si>
    <t>Омск</t>
  </si>
  <si>
    <t>БО газ</t>
  </si>
  <si>
    <t>Обновить список всех клиентов</t>
  </si>
  <si>
    <t>ОКПО</t>
  </si>
  <si>
    <t>Компания</t>
  </si>
  <si>
    <t>Контактное лицо</t>
  </si>
  <si>
    <t>Email</t>
  </si>
  <si>
    <t>Дата создания:</t>
  </si>
  <si>
    <t>Клиент</t>
  </si>
  <si>
    <t>Статус действителен с</t>
  </si>
  <si>
    <t>Обновить статус клиента по продукту</t>
  </si>
  <si>
    <t>Мобильный телефон:</t>
  </si>
  <si>
    <t>Рабочий телефон:</t>
  </si>
  <si>
    <t>Добавочный:</t>
  </si>
  <si>
    <t>Статус*:</t>
  </si>
  <si>
    <t>Добавить обращение от филиала</t>
  </si>
  <si>
    <t>Филиал:</t>
  </si>
  <si>
    <t>Должность:</t>
  </si>
  <si>
    <t>Отчет о 
последнем действии:</t>
  </si>
  <si>
    <t>Мобильный телефон</t>
  </si>
  <si>
    <t>Рынок</t>
  </si>
  <si>
    <t>Нефтепродукты</t>
  </si>
  <si>
    <t>Должность</t>
  </si>
  <si>
    <t>Рабочий телефон</t>
  </si>
  <si>
    <t>Доб.</t>
  </si>
  <si>
    <t>ООО "Газовик"</t>
  </si>
  <si>
    <t>Василевский</t>
  </si>
  <si>
    <t>генеральный директор</t>
  </si>
  <si>
    <t>Иван Полицеймако</t>
  </si>
  <si>
    <t>Газ</t>
  </si>
  <si>
    <t>ООО "Нефтетрейдер"</t>
  </si>
  <si>
    <t>mark@trader.ru</t>
  </si>
  <si>
    <t>Марк Японкин</t>
  </si>
  <si>
    <t>Марк  Маркович Японкин</t>
  </si>
  <si>
    <t>polic@gasovik.ru</t>
  </si>
  <si>
    <t>Иван  Васильевич Полицеймако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</si>
</sst>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/yy;@"/>
    <numFmt numFmtId="165" formatCode="dd/mm/yy;@"/>
    <numFmt numFmtId="166" formatCode="dd/mm/yy\ h:mm;@"/>
  </numFmts>
  <fonts count="1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9">
    <xf numFmtId="0" fontId="0" fillId="0" borderId="0" xfId="0"/>
    <xf numFmtId="164" fontId="0" fillId="0" borderId="0" xfId="0" applyNumberFormat="1"/>
    <xf numFmtId="0" fontId="3" fillId="3" borderId="4" xfId="0" applyFont="1" applyFill="1" applyBorder="1"/>
    <xf numFmtId="0" fontId="3" fillId="3" borderId="0" xfId="0" applyFont="1" applyFill="1" applyBorder="1"/>
    <xf numFmtId="0" fontId="3" fillId="3" borderId="5" xfId="0" applyFont="1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11" xfId="0" applyFill="1" applyBorder="1"/>
    <xf numFmtId="0" fontId="0" fillId="3" borderId="7" xfId="0" applyFill="1" applyBorder="1"/>
    <xf numFmtId="0" fontId="0" fillId="3" borderId="5" xfId="0" applyFill="1" applyBorder="1"/>
    <xf numFmtId="0" fontId="0" fillId="0" borderId="0" xfId="0" applyNumberFormat="1"/>
    <xf numFmtId="14" fontId="3" fillId="0" borderId="0" xfId="0" applyNumberFormat="1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14" fontId="3" fillId="0" borderId="15" xfId="0" applyNumberFormat="1" applyFont="1" applyBorder="1"/>
    <xf numFmtId="0" fontId="3" fillId="0" borderId="0" xfId="0" applyFont="1" applyBorder="1"/>
    <xf numFmtId="14" fontId="0" fillId="0" borderId="15" xfId="0" applyNumberFormat="1" applyBorder="1"/>
    <xf numFmtId="0" fontId="0" fillId="0" borderId="0" xfId="0" applyBorder="1"/>
    <xf numFmtId="0" fontId="0" fillId="0" borderId="15" xfId="0" applyBorder="1"/>
    <xf numFmtId="166" fontId="0" fillId="2" borderId="9" xfId="0" applyNumberFormat="1" applyFill="1" applyBorder="1"/>
    <xf numFmtId="0" fontId="7" fillId="3" borderId="0" xfId="1" applyFont="1" applyFill="1" applyBorder="1"/>
    <xf numFmtId="0" fontId="0" fillId="2" borderId="1" xfId="0" applyFill="1" applyBorder="1" applyProtection="1">
      <protection locked="0"/>
    </xf>
    <xf numFmtId="0" fontId="5" fillId="2" borderId="10" xfId="1" applyFill="1" applyBorder="1" applyProtection="1">
      <protection locked="0"/>
    </xf>
    <xf numFmtId="165" fontId="0" fillId="2" borderId="9" xfId="0" applyNumberFormat="1" applyFill="1" applyBorder="1" applyProtection="1">
      <protection locked="0"/>
    </xf>
    <xf numFmtId="0" fontId="0" fillId="2" borderId="1" xfId="0" applyFill="1" applyBorder="1" applyAlignment="1" applyProtection="1">
      <alignment vertical="top"/>
      <protection locked="0"/>
    </xf>
    <xf numFmtId="166" fontId="0" fillId="0" borderId="0" xfId="0" applyNumberFormat="1"/>
    <xf numFmtId="0" fontId="0" fillId="3" borderId="5" xfId="0" applyFill="1" applyBorder="1" applyAlignment="1">
      <alignment vertical="top"/>
    </xf>
    <xf numFmtId="0" fontId="0" fillId="2" borderId="0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11" xfId="0" applyFill="1" applyBorder="1"/>
    <xf numFmtId="0" fontId="0" fillId="4" borderId="7" xfId="0" applyFill="1" applyBorder="1"/>
    <xf numFmtId="0" fontId="3" fillId="3" borderId="0" xfId="0" applyFont="1" applyFill="1" applyBorder="1" applyAlignment="1"/>
    <xf numFmtId="0" fontId="0" fillId="2" borderId="16" xfId="0" applyFill="1" applyBorder="1" applyProtection="1">
      <protection locked="0"/>
    </xf>
    <xf numFmtId="0" fontId="3" fillId="3" borderId="12" xfId="0" applyFont="1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3" fillId="3" borderId="0" xfId="0" applyFont="1" applyFill="1" applyBorder="1" applyAlignment="1"/>
    <xf numFmtId="0" fontId="0" fillId="0" borderId="0" xfId="0" applyBorder="1" applyAlignment="1"/>
    <xf numFmtId="0" fontId="4" fillId="3" borderId="2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0" fillId="0" borderId="8" xfId="0" applyBorder="1" applyAlignment="1"/>
    <xf numFmtId="0" fontId="0" fillId="0" borderId="0" xfId="0" applyAlignment="1"/>
    <xf numFmtId="0" fontId="3" fillId="3" borderId="12" xfId="0" applyFont="1" applyFill="1" applyBorder="1" applyAlignment="1"/>
    <xf numFmtId="0" fontId="0" fillId="0" borderId="13" xfId="0" applyBorder="1" applyAlignment="1"/>
    <xf numFmtId="0" fontId="0" fillId="0" borderId="14" xfId="0" applyBorder="1" applyAlignment="1"/>
    <xf numFmtId="0" fontId="4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/>
    </xf>
    <xf numFmtId="0" fontId="4" fillId="3" borderId="8" xfId="0" applyFont="1" applyFill="1" applyBorder="1" applyAlignment="1">
      <alignment horizontal="center" vertical="top"/>
    </xf>
    <xf numFmtId="0" fontId="4" fillId="3" borderId="3" xfId="0" applyFont="1" applyFill="1" applyBorder="1" applyAlignment="1">
      <alignment horizontal="center" vertical="top"/>
    </xf>
    <xf numFmtId="0" fontId="3" fillId="3" borderId="4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14" fontId="0" fillId="2" borderId="10" xfId="0" applyNumberForma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12" fillId="0" borderId="0" xfId="0" applyFont="1"/>
    <xf numFmtId="0" fontId="4" fillId="3" borderId="0" xfId="0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13" fillId="0" borderId="0" xfId="0" applyNumberFormat="1" applyFont="1" applyAlignment="1">
      <alignment wrapText="1"/>
    </xf>
    <xf numFmtId="166" fontId="13" fillId="0" borderId="0" xfId="0" applyNumberFormat="1" applyFont="1" applyAlignment="1">
      <alignment wrapText="1"/>
    </xf>
    <xf numFmtId="22" fontId="13" fillId="0" borderId="0" xfId="0" applyNumberFormat="1" applyFont="1" applyAlignment="1">
      <alignment wrapText="1"/>
    </xf>
    <xf numFmtId="0" fontId="0" fillId="3" borderId="0" xfId="0" applyFill="1"/>
    <xf numFmtId="0" fontId="0" fillId="2" borderId="2" xfId="0" applyFill="1" applyBorder="1" applyAlignment="1" applyProtection="1">
      <alignment vertical="top" wrapText="1"/>
      <protection locked="0"/>
    </xf>
    <xf numFmtId="0" fontId="0" fillId="0" borderId="3" xfId="0" applyBorder="1" applyAlignment="1" applyProtection="1">
      <alignment vertical="top" wrapText="1"/>
      <protection locked="0"/>
    </xf>
    <xf numFmtId="0" fontId="0" fillId="0" borderId="4" xfId="0" applyBorder="1" applyAlignment="1" applyProtection="1">
      <alignment vertical="top" wrapText="1"/>
      <protection locked="0"/>
    </xf>
    <xf numFmtId="0" fontId="0" fillId="0" borderId="5" xfId="0" applyBorder="1" applyAlignment="1" applyProtection="1">
      <alignment vertical="top" wrapText="1"/>
      <protection locked="0"/>
    </xf>
    <xf numFmtId="0" fontId="0" fillId="0" borderId="6" xfId="0" applyBorder="1" applyAlignment="1" applyProtection="1">
      <alignment vertical="top" wrapText="1"/>
      <protection locked="0"/>
    </xf>
    <xf numFmtId="0" fontId="0" fillId="0" borderId="7" xfId="0" applyBorder="1" applyAlignment="1" applyProtection="1">
      <alignment vertical="top" wrapText="1"/>
      <protection locked="0"/>
    </xf>
    <xf numFmtId="0" fontId="0" fillId="0" borderId="8" xfId="0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0" borderId="11" xfId="0" applyBorder="1" applyAlignment="1" applyProtection="1">
      <alignment vertical="top" wrapText="1"/>
      <protection locked="0"/>
    </xf>
    <xf numFmtId="0" fontId="10" fillId="3" borderId="12" xfId="0" applyFont="1" applyFill="1" applyBorder="1" applyAlignment="1" applyProtection="1">
      <alignment vertical="top" wrapText="1"/>
      <protection locked="0"/>
    </xf>
    <xf numFmtId="0" fontId="1" fillId="3" borderId="13" xfId="0" applyFont="1" applyFill="1" applyBorder="1" applyAlignment="1" applyProtection="1">
      <alignment vertical="top" wrapText="1"/>
      <protection locked="0"/>
    </xf>
    <xf numFmtId="0" fontId="1" fillId="3" borderId="14" xfId="0" applyFont="1" applyFill="1" applyBorder="1" applyAlignment="1" applyProtection="1">
      <alignment vertical="top" wrapText="1"/>
      <protection locked="0"/>
    </xf>
    <xf numFmtId="0" fontId="0" fillId="2" borderId="1" xfId="0" applyFill="1" applyBorder="1" applyAlignment="1" applyProtection="1">
      <protection locked="0"/>
    </xf>
    <xf numFmtId="0" fontId="0" fillId="0" borderId="10" xfId="0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1114425</xdr:colOff>
          <xdr:row>3</xdr:row>
          <xdr:rowOff>114300</xdr:rowOff>
        </xdr:from>
        <xdr:to>
          <xdr:col>4</xdr:col>
          <xdr:colOff>1885950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180975</xdr:rowOff>
        </xdr:from>
        <xdr:to>
          <xdr:col>3</xdr:col>
          <xdr:colOff>1943100</xdr:colOff>
          <xdr:row>3</xdr:row>
          <xdr:rowOff>9525</xdr:rowOff>
        </xdr:to>
        <xdr:sp macro="" textlink="">
          <xdr:nvSpPr>
            <xdr:cNvPr id="2054" name="ComboBox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9525</xdr:rowOff>
        </xdr:from>
        <xdr:to>
          <xdr:col>1</xdr:col>
          <xdr:colOff>1914525</xdr:colOff>
          <xdr:row>10</xdr:row>
          <xdr:rowOff>9525</xdr:rowOff>
        </xdr:to>
        <xdr:sp macro="" textlink="">
          <xdr:nvSpPr>
            <xdr:cNvPr id="2055" name="ComboBox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2</xdr:col>
          <xdr:colOff>1895475</xdr:colOff>
          <xdr:row>10</xdr:row>
          <xdr:rowOff>9525</xdr:rowOff>
        </xdr:to>
        <xdr:sp macro="" textlink="">
          <xdr:nvSpPr>
            <xdr:cNvPr id="2056" name="ComboBox4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12</xdr:row>
          <xdr:rowOff>171450</xdr:rowOff>
        </xdr:from>
        <xdr:to>
          <xdr:col>5</xdr:col>
          <xdr:colOff>1800225</xdr:colOff>
          <xdr:row>13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20</xdr:row>
          <xdr:rowOff>285750</xdr:rowOff>
        </xdr:from>
        <xdr:to>
          <xdr:col>5</xdr:col>
          <xdr:colOff>1828800</xdr:colOff>
          <xdr:row>20</xdr:row>
          <xdr:rowOff>438150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23</xdr:row>
          <xdr:rowOff>190500</xdr:rowOff>
        </xdr:from>
        <xdr:to>
          <xdr:col>1</xdr:col>
          <xdr:colOff>1847850</xdr:colOff>
          <xdr:row>24</xdr:row>
          <xdr:rowOff>142875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Назначить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29</xdr:row>
          <xdr:rowOff>47625</xdr:rowOff>
        </xdr:from>
        <xdr:to>
          <xdr:col>1</xdr:col>
          <xdr:colOff>1885950</xdr:colOff>
          <xdr:row>29</xdr:row>
          <xdr:rowOff>190500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22</xdr:row>
          <xdr:rowOff>0</xdr:rowOff>
        </xdr:from>
        <xdr:to>
          <xdr:col>0</xdr:col>
          <xdr:colOff>1895475</xdr:colOff>
          <xdr:row>23</xdr:row>
          <xdr:rowOff>0</xdr:rowOff>
        </xdr:to>
        <xdr:sp macro="" textlink="">
          <xdr:nvSpPr>
            <xdr:cNvPr id="2063" name="ComboBox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22</xdr:row>
          <xdr:rowOff>0</xdr:rowOff>
        </xdr:from>
        <xdr:to>
          <xdr:col>1</xdr:col>
          <xdr:colOff>1905000</xdr:colOff>
          <xdr:row>23</xdr:row>
          <xdr:rowOff>0</xdr:rowOff>
        </xdr:to>
        <xdr:sp macro="" textlink="">
          <xdr:nvSpPr>
            <xdr:cNvPr id="2064" name="ComboBox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0</xdr:rowOff>
        </xdr:from>
        <xdr:to>
          <xdr:col>3</xdr:col>
          <xdr:colOff>1895475</xdr:colOff>
          <xdr:row>10</xdr:row>
          <xdr:rowOff>0</xdr:rowOff>
        </xdr:to>
        <xdr:sp macro="" textlink="">
          <xdr:nvSpPr>
            <xdr:cNvPr id="2066" name="ComboBox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22</xdr:row>
          <xdr:rowOff>9525</xdr:rowOff>
        </xdr:from>
        <xdr:to>
          <xdr:col>3</xdr:col>
          <xdr:colOff>1847850</xdr:colOff>
          <xdr:row>23</xdr:row>
          <xdr:rowOff>142875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все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180975</xdr:rowOff>
        </xdr:from>
        <xdr:to>
          <xdr:col>4</xdr:col>
          <xdr:colOff>1914525</xdr:colOff>
          <xdr:row>3</xdr:row>
          <xdr:rowOff>9525</xdr:rowOff>
        </xdr:to>
        <xdr:sp macro="" textlink="">
          <xdr:nvSpPr>
            <xdr:cNvPr id="2070" name="ComboBox9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0</xdr:rowOff>
        </xdr:from>
        <xdr:to>
          <xdr:col>1</xdr:col>
          <xdr:colOff>1914525</xdr:colOff>
          <xdr:row>28</xdr:row>
          <xdr:rowOff>0</xdr:rowOff>
        </xdr:to>
        <xdr:sp macro="" textlink="">
          <xdr:nvSpPr>
            <xdr:cNvPr id="2071" name="ComboBox10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4</xdr:row>
          <xdr:rowOff>161925</xdr:rowOff>
        </xdr:from>
        <xdr:to>
          <xdr:col>3</xdr:col>
          <xdr:colOff>628650</xdr:colOff>
          <xdr:row>5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Сгенерировать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3</xdr:row>
          <xdr:rowOff>142875</xdr:rowOff>
        </xdr:from>
        <xdr:to>
          <xdr:col>2</xdr:col>
          <xdr:colOff>962025</xdr:colOff>
          <xdr:row>4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21" Type="http://schemas.openxmlformats.org/officeDocument/2006/relationships/comments" Target="../comments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2.xml"/><Relationship Id="rId20" Type="http://schemas.openxmlformats.org/officeDocument/2006/relationships/ctrlProp" Target="../ctrlProps/ctrlProp6.xml"/><Relationship Id="rId1" Type="http://schemas.openxmlformats.org/officeDocument/2006/relationships/hyperlink" Target="http://statreg.gks.ru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ert_a_client"/>
  <dimension ref="A1:XFC31"/>
  <sheetViews>
    <sheetView tabSelected="1" workbookViewId="0">
      <selection activeCell="C3" sqref="C3"/>
    </sheetView>
  </sheetViews>
  <sheetFormatPr defaultColWidth="0" defaultRowHeight="15.75" zeroHeight="1" x14ac:dyDescent="0.25"/>
  <cols>
    <col min="1" max="6" width="25.625" customWidth="1"/>
    <col min="7" max="7" width="0.375" style="15" customWidth="1"/>
    <col min="8" max="16376" width="11" hidden="1"/>
    <col min="16377" max="16383" width="6" hidden="1"/>
    <col min="16384" max="16384" width="0.875" hidden="1"/>
  </cols>
  <sheetData>
    <row r="1" spans="1:8" ht="39.75" customHeight="1" thickBot="1" x14ac:dyDescent="0.3">
      <c r="A1" s="37" t="s">
        <v>3</v>
      </c>
      <c r="B1" s="38"/>
      <c r="C1" s="38"/>
      <c r="D1" s="38"/>
      <c r="E1" s="39"/>
      <c r="F1" s="36" t="s">
        <v>56</v>
      </c>
      <c r="G1" s="29"/>
      <c r="H1" s="19"/>
    </row>
    <row r="2" spans="1:8" ht="15" customHeight="1" x14ac:dyDescent="0.25">
      <c r="A2" s="2" t="s">
        <v>45</v>
      </c>
      <c r="B2" s="22" t="s">
        <v>21</v>
      </c>
      <c r="C2" s="3" t="s">
        <v>23</v>
      </c>
      <c r="D2" s="3" t="s">
        <v>22</v>
      </c>
      <c r="E2" s="4" t="s">
        <v>9</v>
      </c>
      <c r="F2" s="84"/>
      <c r="G2" s="29"/>
      <c r="H2" s="19"/>
    </row>
    <row r="3" spans="1:8" ht="18" customHeight="1" x14ac:dyDescent="0.25">
      <c r="A3" s="25">
        <f ca="1">TODAY()</f>
        <v>43037</v>
      </c>
      <c r="B3" s="26"/>
      <c r="C3" s="26"/>
      <c r="D3" s="5"/>
      <c r="E3" s="28"/>
      <c r="F3" s="85"/>
      <c r="G3" s="29"/>
      <c r="H3" s="19"/>
    </row>
    <row r="4" spans="1:8" ht="15" customHeight="1" x14ac:dyDescent="0.25">
      <c r="A4" s="6"/>
      <c r="B4" s="5"/>
      <c r="C4" s="5"/>
      <c r="D4" s="5"/>
      <c r="E4" s="10"/>
      <c r="F4" s="85"/>
      <c r="G4" s="29"/>
      <c r="H4" s="19"/>
    </row>
    <row r="5" spans="1:8" ht="15" customHeight="1" x14ac:dyDescent="0.25">
      <c r="A5" s="6"/>
      <c r="B5" s="5"/>
      <c r="C5" s="5"/>
      <c r="D5" s="5"/>
      <c r="E5" s="10"/>
      <c r="F5" s="85"/>
      <c r="G5" s="29"/>
      <c r="H5" s="19"/>
    </row>
    <row r="6" spans="1:8" x14ac:dyDescent="0.25">
      <c r="A6" s="6"/>
      <c r="B6" s="5"/>
      <c r="C6" s="5"/>
      <c r="D6" s="5"/>
      <c r="E6" s="10"/>
      <c r="F6" s="85"/>
      <c r="G6" s="29"/>
      <c r="H6" s="19"/>
    </row>
    <row r="7" spans="1:8" ht="16.5" thickBot="1" x14ac:dyDescent="0.3">
      <c r="A7" s="7"/>
      <c r="B7" s="8"/>
      <c r="C7" s="8"/>
      <c r="D7" s="8"/>
      <c r="E7" s="9"/>
      <c r="F7" s="86"/>
      <c r="G7" s="29"/>
      <c r="H7" s="19"/>
    </row>
    <row r="8" spans="1:8" ht="39.75" customHeight="1" x14ac:dyDescent="0.25">
      <c r="A8" s="37" t="s">
        <v>48</v>
      </c>
      <c r="B8" s="40"/>
      <c r="C8" s="40"/>
      <c r="D8" s="41"/>
      <c r="E8" s="41"/>
      <c r="F8" s="42"/>
    </row>
    <row r="9" spans="1:8" ht="16.5" thickBot="1" x14ac:dyDescent="0.3">
      <c r="A9" s="2" t="s">
        <v>8</v>
      </c>
      <c r="B9" s="3" t="s">
        <v>24</v>
      </c>
      <c r="C9" s="3" t="s">
        <v>25</v>
      </c>
      <c r="D9" s="3" t="s">
        <v>52</v>
      </c>
      <c r="E9" s="3" t="s">
        <v>20</v>
      </c>
      <c r="F9" s="4"/>
    </row>
    <row r="10" spans="1:8" ht="20.25" customHeight="1" x14ac:dyDescent="0.25">
      <c r="A10" s="21">
        <f ca="1">NOW()</f>
        <v>43037.762259374998</v>
      </c>
      <c r="B10" s="5"/>
      <c r="C10" s="5"/>
      <c r="D10" s="5"/>
      <c r="E10" s="75"/>
      <c r="F10" s="76"/>
    </row>
    <row r="11" spans="1:8" x14ac:dyDescent="0.25">
      <c r="A11" s="6"/>
      <c r="B11" s="5"/>
      <c r="C11" s="5"/>
      <c r="D11" s="5"/>
      <c r="E11" s="77"/>
      <c r="F11" s="78"/>
    </row>
    <row r="12" spans="1:8" ht="16.5" thickBot="1" x14ac:dyDescent="0.3">
      <c r="A12" s="6"/>
      <c r="B12" s="5"/>
      <c r="C12" s="5"/>
      <c r="D12" s="5"/>
      <c r="E12" s="79"/>
      <c r="F12" s="80"/>
    </row>
    <row r="13" spans="1:8" x14ac:dyDescent="0.25">
      <c r="A13" s="6"/>
      <c r="B13" s="5"/>
      <c r="C13" s="5"/>
      <c r="D13" s="5"/>
      <c r="E13" s="5"/>
      <c r="F13" s="10"/>
    </row>
    <row r="14" spans="1:8" ht="16.5" thickBot="1" x14ac:dyDescent="0.3">
      <c r="A14" s="7"/>
      <c r="B14" s="8"/>
      <c r="C14" s="8"/>
      <c r="D14" s="8"/>
      <c r="E14" s="8"/>
      <c r="F14" s="9"/>
    </row>
    <row r="15" spans="1:8" ht="39.75" customHeight="1" x14ac:dyDescent="0.25">
      <c r="A15" s="47" t="s">
        <v>10</v>
      </c>
      <c r="B15" s="48"/>
      <c r="C15" s="48"/>
      <c r="D15" s="48"/>
      <c r="E15" s="48"/>
      <c r="F15" s="54"/>
    </row>
    <row r="16" spans="1:8" x14ac:dyDescent="0.25">
      <c r="A16" s="2" t="s">
        <v>0</v>
      </c>
      <c r="B16" s="3" t="s">
        <v>12</v>
      </c>
      <c r="C16" s="3" t="s">
        <v>26</v>
      </c>
      <c r="D16" s="3" t="s">
        <v>13</v>
      </c>
      <c r="E16" s="3" t="s">
        <v>49</v>
      </c>
      <c r="F16" s="4" t="s">
        <v>14</v>
      </c>
    </row>
    <row r="17" spans="1:6" x14ac:dyDescent="0.25">
      <c r="A17" s="21">
        <f ca="1">NOW()</f>
        <v>43037.762259374998</v>
      </c>
      <c r="B17" s="23"/>
      <c r="C17" s="23"/>
      <c r="D17" s="23"/>
      <c r="E17" s="23"/>
      <c r="F17" s="24"/>
    </row>
    <row r="18" spans="1:6" x14ac:dyDescent="0.25">
      <c r="A18" s="6"/>
      <c r="B18" s="5"/>
      <c r="C18" s="5"/>
      <c r="D18" s="5"/>
      <c r="E18" s="5"/>
      <c r="F18" s="10"/>
    </row>
    <row r="19" spans="1:6" x14ac:dyDescent="0.25">
      <c r="A19" s="6"/>
      <c r="B19" s="5"/>
      <c r="C19" s="74"/>
      <c r="D19" s="34" t="s">
        <v>55</v>
      </c>
      <c r="E19" s="3" t="s">
        <v>50</v>
      </c>
      <c r="F19" s="4" t="s">
        <v>51</v>
      </c>
    </row>
    <row r="20" spans="1:6" ht="16.5" thickBot="1" x14ac:dyDescent="0.3">
      <c r="A20" s="6"/>
      <c r="B20" s="5"/>
      <c r="C20" s="74"/>
      <c r="D20" s="87"/>
      <c r="E20" s="35"/>
      <c r="F20" s="88"/>
    </row>
    <row r="21" spans="1:6" ht="39.75" customHeight="1" thickBot="1" x14ac:dyDescent="0.3">
      <c r="A21" s="47" t="s">
        <v>11</v>
      </c>
      <c r="B21" s="54"/>
      <c r="C21" s="8"/>
      <c r="D21" s="8"/>
      <c r="E21" s="8"/>
      <c r="F21" s="9"/>
    </row>
    <row r="22" spans="1:6" x14ac:dyDescent="0.25">
      <c r="A22" s="2" t="s">
        <v>15</v>
      </c>
      <c r="B22" s="4" t="s">
        <v>27</v>
      </c>
      <c r="C22" s="30"/>
      <c r="D22" s="30"/>
      <c r="E22" s="31"/>
      <c r="F22" s="51"/>
    </row>
    <row r="23" spans="1:6" ht="20.25" customHeight="1" x14ac:dyDescent="0.25">
      <c r="A23" s="6"/>
      <c r="B23" s="10"/>
      <c r="C23" s="30"/>
      <c r="D23" s="30"/>
      <c r="E23" s="31"/>
      <c r="F23" s="52"/>
    </row>
    <row r="24" spans="1:6" x14ac:dyDescent="0.25">
      <c r="A24" s="6"/>
      <c r="B24" s="10"/>
      <c r="C24" s="30"/>
      <c r="D24" s="30"/>
      <c r="E24" s="31"/>
      <c r="F24" s="52"/>
    </row>
    <row r="25" spans="1:6" ht="16.5" thickBot="1" x14ac:dyDescent="0.3">
      <c r="A25" s="7"/>
      <c r="B25" s="9"/>
      <c r="C25" s="32"/>
      <c r="D25" s="32"/>
      <c r="E25" s="33"/>
      <c r="F25" s="52"/>
    </row>
    <row r="26" spans="1:6" ht="39.75" customHeight="1" x14ac:dyDescent="0.25">
      <c r="A26" s="47" t="s">
        <v>53</v>
      </c>
      <c r="B26" s="48"/>
      <c r="C26" s="48"/>
      <c r="D26" s="49"/>
      <c r="E26" s="43"/>
      <c r="F26" s="52"/>
    </row>
    <row r="27" spans="1:6" ht="16.5" thickBot="1" x14ac:dyDescent="0.3">
      <c r="A27" s="2" t="s">
        <v>8</v>
      </c>
      <c r="B27" s="3" t="s">
        <v>54</v>
      </c>
      <c r="C27" s="45" t="s">
        <v>20</v>
      </c>
      <c r="D27" s="46"/>
      <c r="E27" s="4"/>
      <c r="F27" s="52"/>
    </row>
    <row r="28" spans="1:6" ht="20.25" customHeight="1" x14ac:dyDescent="0.25">
      <c r="A28" s="21">
        <f ca="1">NOW()</f>
        <v>43037.762259374998</v>
      </c>
      <c r="B28" s="5"/>
      <c r="C28" s="75"/>
      <c r="D28" s="81"/>
      <c r="E28" s="76"/>
      <c r="F28" s="52"/>
    </row>
    <row r="29" spans="1:6" x14ac:dyDescent="0.25">
      <c r="A29" s="6"/>
      <c r="B29" s="5"/>
      <c r="C29" s="77"/>
      <c r="D29" s="82"/>
      <c r="E29" s="78"/>
      <c r="F29" s="52"/>
    </row>
    <row r="30" spans="1:6" ht="16.5" thickBot="1" x14ac:dyDescent="0.3">
      <c r="A30" s="6"/>
      <c r="B30" s="5"/>
      <c r="C30" s="79"/>
      <c r="D30" s="83"/>
      <c r="E30" s="80"/>
      <c r="F30" s="52"/>
    </row>
    <row r="31" spans="1:6" ht="16.5" thickBot="1" x14ac:dyDescent="0.3">
      <c r="A31" s="7"/>
      <c r="B31" s="8"/>
      <c r="C31" s="8"/>
      <c r="D31" s="8"/>
      <c r="E31" s="9"/>
      <c r="F31" s="53"/>
    </row>
  </sheetData>
  <sheetProtection sheet="1" objects="1" scenarios="1" formatCells="0" selectLockedCells="1"/>
  <mergeCells count="10">
    <mergeCell ref="C28:E30"/>
    <mergeCell ref="F22:F31"/>
    <mergeCell ref="A15:F15"/>
    <mergeCell ref="A21:B21"/>
    <mergeCell ref="A1:E1"/>
    <mergeCell ref="A8:F8"/>
    <mergeCell ref="F2:F7"/>
    <mergeCell ref="E10:F12"/>
    <mergeCell ref="C27:D27"/>
    <mergeCell ref="A26:E26"/>
  </mergeCells>
  <hyperlinks>
    <hyperlink ref="B2" r:id="rId1"/>
  </hyperlinks>
  <pageMargins left="0.75" right="0.75" top="1" bottom="1" header="0.5" footer="0.5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71" r:id="rId5" name="ComboBox10">
          <controlPr defaultSize="0" autoLine="0" listFillRange="source!$V$1:$W$3" r:id="rId6">
            <anchor moveWithCells="1">
              <from>
                <xdr:col>1</xdr:col>
                <xdr:colOff>38100</xdr:colOff>
                <xdr:row>27</xdr:row>
                <xdr:rowOff>0</xdr:rowOff>
              </from>
              <to>
                <xdr:col>1</xdr:col>
                <xdr:colOff>1914525</xdr:colOff>
                <xdr:row>28</xdr:row>
                <xdr:rowOff>0</xdr:rowOff>
              </to>
            </anchor>
          </controlPr>
        </control>
      </mc:Choice>
      <mc:Fallback>
        <control shapeId="2071" r:id="rId5" name="ComboBox10"/>
      </mc:Fallback>
    </mc:AlternateContent>
    <mc:AlternateContent xmlns:mc="http://schemas.openxmlformats.org/markup-compatibility/2006">
      <mc:Choice Requires="x14">
        <control shapeId="2070" r:id="rId7" name="ComboBox9">
          <controlPr defaultSize="0" autoLine="0" listFillRange="source!$T$1:$U$1" r:id="rId8">
            <anchor moveWithCells="1">
              <from>
                <xdr:col>4</xdr:col>
                <xdr:colOff>9525</xdr:colOff>
                <xdr:row>1</xdr:row>
                <xdr:rowOff>180975</xdr:rowOff>
              </from>
              <to>
                <xdr:col>4</xdr:col>
                <xdr:colOff>1914525</xdr:colOff>
                <xdr:row>3</xdr:row>
                <xdr:rowOff>9525</xdr:rowOff>
              </to>
            </anchor>
          </controlPr>
        </control>
      </mc:Choice>
      <mc:Fallback>
        <control shapeId="2070" r:id="rId7" name="ComboBox9"/>
      </mc:Fallback>
    </mc:AlternateContent>
    <mc:AlternateContent xmlns:mc="http://schemas.openxmlformats.org/markup-compatibility/2006">
      <mc:Choice Requires="x14">
        <control shapeId="2066" r:id="rId9" name="ComboBox8">
          <controlPr defaultSize="0" autoLine="0" listFillRange="source!$Q$1:$R$5" r:id="rId6">
            <anchor moveWithCells="1">
              <from>
                <xdr:col>3</xdr:col>
                <xdr:colOff>19050</xdr:colOff>
                <xdr:row>9</xdr:row>
                <xdr:rowOff>0</xdr:rowOff>
              </from>
              <to>
                <xdr:col>3</xdr:col>
                <xdr:colOff>1895475</xdr:colOff>
                <xdr:row>10</xdr:row>
                <xdr:rowOff>0</xdr:rowOff>
              </to>
            </anchor>
          </controlPr>
        </control>
      </mc:Choice>
      <mc:Fallback>
        <control shapeId="2066" r:id="rId9" name="ComboBox8"/>
      </mc:Fallback>
    </mc:AlternateContent>
    <mc:AlternateContent xmlns:mc="http://schemas.openxmlformats.org/markup-compatibility/2006">
      <mc:Choice Requires="x14">
        <control shapeId="2064" r:id="rId10" name="ComboBox6">
          <controlPr defaultSize="0" autoLine="0" listFillRange="source!$K$1:$L$2" r:id="rId6">
            <anchor moveWithCells="1">
              <from>
                <xdr:col>1</xdr:col>
                <xdr:colOff>28575</xdr:colOff>
                <xdr:row>22</xdr:row>
                <xdr:rowOff>0</xdr:rowOff>
              </from>
              <to>
                <xdr:col>1</xdr:col>
                <xdr:colOff>1905000</xdr:colOff>
                <xdr:row>23</xdr:row>
                <xdr:rowOff>0</xdr:rowOff>
              </to>
            </anchor>
          </controlPr>
        </control>
      </mc:Choice>
      <mc:Fallback>
        <control shapeId="2064" r:id="rId10" name="ComboBox6"/>
      </mc:Fallback>
    </mc:AlternateContent>
    <mc:AlternateContent xmlns:mc="http://schemas.openxmlformats.org/markup-compatibility/2006">
      <mc:Choice Requires="x14">
        <control shapeId="2063" r:id="rId11" name="ComboBox5">
          <controlPr defaultSize="0" autoLine="0" listFillRange="source!$I$1:$J$2" r:id="rId6">
            <anchor moveWithCells="1">
              <from>
                <xdr:col>0</xdr:col>
                <xdr:colOff>19050</xdr:colOff>
                <xdr:row>22</xdr:row>
                <xdr:rowOff>0</xdr:rowOff>
              </from>
              <to>
                <xdr:col>0</xdr:col>
                <xdr:colOff>1895475</xdr:colOff>
                <xdr:row>23</xdr:row>
                <xdr:rowOff>0</xdr:rowOff>
              </to>
            </anchor>
          </controlPr>
        </control>
      </mc:Choice>
      <mc:Fallback>
        <control shapeId="2063" r:id="rId11" name="ComboBox5"/>
      </mc:Fallback>
    </mc:AlternateContent>
    <mc:AlternateContent xmlns:mc="http://schemas.openxmlformats.org/markup-compatibility/2006">
      <mc:Choice Requires="x14">
        <control shapeId="2056" r:id="rId12" name="ComboBox4">
          <controlPr defaultSize="0" autoLine="0" listFillRange="source!$G$1:$H$4" r:id="rId6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2</xdr:col>
                <xdr:colOff>1895475</xdr:colOff>
                <xdr:row>10</xdr:row>
                <xdr:rowOff>9525</xdr:rowOff>
              </to>
            </anchor>
          </controlPr>
        </control>
      </mc:Choice>
      <mc:Fallback>
        <control shapeId="2056" r:id="rId12" name="ComboBox4"/>
      </mc:Fallback>
    </mc:AlternateContent>
    <mc:AlternateContent xmlns:mc="http://schemas.openxmlformats.org/markup-compatibility/2006">
      <mc:Choice Requires="x14">
        <control shapeId="2055" r:id="rId13" name="ComboBox3">
          <controlPr defaultSize="0" autoLine="0" listFillRange="source!$E$1:$F$2" r:id="rId6">
            <anchor moveWithCells="1">
              <from>
                <xdr:col>1</xdr:col>
                <xdr:colOff>38100</xdr:colOff>
                <xdr:row>9</xdr:row>
                <xdr:rowOff>9525</xdr:rowOff>
              </from>
              <to>
                <xdr:col>1</xdr:col>
                <xdr:colOff>1914525</xdr:colOff>
                <xdr:row>10</xdr:row>
                <xdr:rowOff>9525</xdr:rowOff>
              </to>
            </anchor>
          </controlPr>
        </control>
      </mc:Choice>
      <mc:Fallback>
        <control shapeId="2055" r:id="rId13" name="ComboBox3"/>
      </mc:Fallback>
    </mc:AlternateContent>
    <mc:AlternateContent xmlns:mc="http://schemas.openxmlformats.org/markup-compatibility/2006">
      <mc:Choice Requires="x14">
        <control shapeId="2054" r:id="rId14" name="ComboBox2">
          <controlPr defaultSize="0" autoLine="0" listFillRange="source!$C$1:$D$3" r:id="rId8">
            <anchor moveWithCells="1">
              <from>
                <xdr:col>3</xdr:col>
                <xdr:colOff>38100</xdr:colOff>
                <xdr:row>1</xdr:row>
                <xdr:rowOff>180975</xdr:rowOff>
              </from>
              <to>
                <xdr:col>3</xdr:col>
                <xdr:colOff>1943100</xdr:colOff>
                <xdr:row>3</xdr:row>
                <xdr:rowOff>9525</xdr:rowOff>
              </to>
            </anchor>
          </controlPr>
        </control>
      </mc:Choice>
      <mc:Fallback>
        <control shapeId="2054" r:id="rId14" name="ComboBox2"/>
      </mc:Fallback>
    </mc:AlternateContent>
    <mc:AlternateContent xmlns:mc="http://schemas.openxmlformats.org/markup-compatibility/2006">
      <mc:Choice Requires="x14">
        <control shapeId="2050" r:id="rId15" name="Button 2">
          <controlPr defaultSize="0" print="0" autoFill="0" autoPict="0" macro="[0]!Module1.insert_a_client">
            <anchor moveWithCells="1" sizeWithCells="1">
              <from>
                <xdr:col>4</xdr:col>
                <xdr:colOff>1114425</xdr:colOff>
                <xdr:row>3</xdr:row>
                <xdr:rowOff>114300</xdr:rowOff>
              </from>
              <to>
                <xdr:col>4</xdr:col>
                <xdr:colOff>1885950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6" name="Button 10">
          <controlPr defaultSize="0" print="0" autoFill="0" autoPict="0" macro="[0]!insert_a_service">
            <anchor moveWithCells="1" sizeWithCells="1">
              <from>
                <xdr:col>5</xdr:col>
                <xdr:colOff>790575</xdr:colOff>
                <xdr:row>12</xdr:row>
                <xdr:rowOff>171450</xdr:rowOff>
              </from>
              <to>
                <xdr:col>5</xdr:col>
                <xdr:colOff>1800225</xdr:colOff>
                <xdr:row>13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7" name="Button 12">
          <controlPr defaultSize="0" print="0" autoFill="0" autoPict="0" macro="[0]!insert_a_contact">
            <anchor moveWithCells="1" sizeWithCells="1">
              <from>
                <xdr:col>5</xdr:col>
                <xdr:colOff>819150</xdr:colOff>
                <xdr:row>20</xdr:row>
                <xdr:rowOff>285750</xdr:rowOff>
              </from>
              <to>
                <xdr:col>5</xdr:col>
                <xdr:colOff>1828800</xdr:colOff>
                <xdr:row>20</xdr:row>
                <xdr:rowOff>438150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8" name="Button 13">
          <controlPr defaultSize="0" print="0" autoFill="0" autoPict="0" macro="[0]!insert_a_bounded_contact">
            <anchor moveWithCells="1" sizeWithCells="1">
              <from>
                <xdr:col>1</xdr:col>
                <xdr:colOff>838200</xdr:colOff>
                <xdr:row>23</xdr:row>
                <xdr:rowOff>190500</xdr:rowOff>
              </from>
              <to>
                <xdr:col>1</xdr:col>
                <xdr:colOff>1847850</xdr:colOff>
                <xdr:row>24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9" name="Button 14">
          <controlPr defaultSize="0" print="0" autoFill="0" autoPict="0" macro="[0]!insert_a_request">
            <anchor moveWithCells="1" sizeWithCells="1">
              <from>
                <xdr:col>1</xdr:col>
                <xdr:colOff>876300</xdr:colOff>
                <xdr:row>29</xdr:row>
                <xdr:rowOff>47625</xdr:rowOff>
              </from>
              <to>
                <xdr:col>1</xdr:col>
                <xdr:colOff>1885950</xdr:colOff>
                <xdr:row>29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20" name="Button 21">
          <controlPr defaultSize="0" print="0" autoFill="0" autoPict="0" macro="[0]!refresh_data">
            <anchor moveWithCells="1" sizeWithCells="1">
              <from>
                <xdr:col>3</xdr:col>
                <xdr:colOff>190500</xdr:colOff>
                <xdr:row>22</xdr:row>
                <xdr:rowOff>9525</xdr:rowOff>
              </from>
              <to>
                <xdr:col>3</xdr:col>
                <xdr:colOff>1847850</xdr:colOff>
                <xdr:row>23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8"/>
  <sheetViews>
    <sheetView workbookViewId="0">
      <selection activeCell="G9" sqref="G9"/>
    </sheetView>
  </sheetViews>
  <sheetFormatPr defaultColWidth="0" defaultRowHeight="15.75" x14ac:dyDescent="0.25"/>
  <cols>
    <col min="1" max="3" width="22.625" customWidth="1"/>
    <col min="4" max="4" width="22.625" style="11" customWidth="1"/>
    <col min="5" max="5" width="22.625" style="27" customWidth="1"/>
    <col min="6" max="6" width="22.625" style="20" customWidth="1"/>
    <col min="7" max="7" width="22.625" style="19" customWidth="1"/>
    <col min="8" max="9" width="17.5" hidden="1" customWidth="1"/>
    <col min="10" max="16384" width="9" hidden="1"/>
  </cols>
  <sheetData>
    <row r="1" spans="1:9" ht="39.75" customHeight="1" x14ac:dyDescent="0.25">
      <c r="A1" s="57" t="s">
        <v>7</v>
      </c>
      <c r="B1" s="58"/>
      <c r="C1" s="58"/>
      <c r="D1" s="59"/>
      <c r="E1" s="15"/>
      <c r="F1" s="15"/>
      <c r="G1" s="15"/>
    </row>
    <row r="2" spans="1:9" x14ac:dyDescent="0.25">
      <c r="A2" s="60" t="s">
        <v>30</v>
      </c>
      <c r="B2" s="61"/>
      <c r="C2" s="61" t="s">
        <v>31</v>
      </c>
      <c r="D2" s="62"/>
      <c r="E2" s="15"/>
      <c r="F2" s="15"/>
      <c r="G2" s="15"/>
    </row>
    <row r="3" spans="1:9" x14ac:dyDescent="0.25">
      <c r="A3" s="63">
        <v>43030</v>
      </c>
      <c r="B3" s="64"/>
      <c r="C3" s="65">
        <v>43038</v>
      </c>
      <c r="D3" s="66"/>
      <c r="E3" s="15"/>
      <c r="F3" s="15"/>
      <c r="G3" s="15"/>
    </row>
    <row r="4" spans="1:9" x14ac:dyDescent="0.25">
      <c r="A4" s="63"/>
      <c r="B4" s="64"/>
      <c r="C4" s="65"/>
      <c r="D4" s="66"/>
      <c r="E4" s="15"/>
      <c r="F4" s="15"/>
      <c r="G4" s="15"/>
    </row>
    <row r="5" spans="1:9" x14ac:dyDescent="0.25">
      <c r="A5" s="6"/>
      <c r="B5" s="5"/>
      <c r="C5" s="5"/>
      <c r="D5" s="10"/>
      <c r="E5" s="15"/>
      <c r="F5" s="15"/>
      <c r="G5" s="15"/>
    </row>
    <row r="6" spans="1:9" x14ac:dyDescent="0.25">
      <c r="A6" s="6"/>
      <c r="B6" s="5"/>
      <c r="C6" s="5"/>
      <c r="D6" s="10"/>
      <c r="E6" s="15"/>
      <c r="F6" s="15"/>
      <c r="G6" s="15"/>
    </row>
    <row r="7" spans="1:9" s="14" customFormat="1" ht="33" customHeight="1" x14ac:dyDescent="0.25">
      <c r="A7" s="55" t="s">
        <v>29</v>
      </c>
      <c r="B7" s="55"/>
      <c r="C7" s="55"/>
      <c r="D7" s="55"/>
      <c r="E7" s="56"/>
      <c r="F7" s="55" t="s">
        <v>33</v>
      </c>
      <c r="G7" s="56"/>
    </row>
    <row r="8" spans="1:9" x14ac:dyDescent="0.25">
      <c r="A8" s="12" t="s">
        <v>16</v>
      </c>
      <c r="B8" s="13" t="s">
        <v>28</v>
      </c>
      <c r="C8" s="13" t="s">
        <v>17</v>
      </c>
      <c r="D8" s="13" t="s">
        <v>18</v>
      </c>
      <c r="E8" s="13" t="s">
        <v>19</v>
      </c>
      <c r="F8" s="16" t="s">
        <v>16</v>
      </c>
      <c r="G8" s="17" t="s">
        <v>32</v>
      </c>
    </row>
    <row r="9" spans="1:9" x14ac:dyDescent="0.25">
      <c r="A9" t="s">
        <v>1</v>
      </c>
      <c r="B9" t="s">
        <v>39</v>
      </c>
      <c r="C9" t="s">
        <v>4</v>
      </c>
      <c r="D9" s="11">
        <v>1</v>
      </c>
      <c r="E9" s="27">
        <v>43037.747916666667</v>
      </c>
      <c r="F9" s="18" t="s">
        <v>1</v>
      </c>
      <c r="G9" s="19">
        <v>1</v>
      </c>
      <c r="I9" s="1"/>
    </row>
    <row r="10" spans="1:9" x14ac:dyDescent="0.25">
      <c r="A10" t="s">
        <v>1</v>
      </c>
      <c r="B10" t="s">
        <v>35</v>
      </c>
      <c r="C10" t="s">
        <v>6</v>
      </c>
      <c r="D10" s="11">
        <v>1</v>
      </c>
      <c r="E10" s="27">
        <v>43037.746527777781</v>
      </c>
    </row>
    <row r="28" spans="6:6" x14ac:dyDescent="0.25">
      <c r="F28" s="18"/>
    </row>
  </sheetData>
  <mergeCells count="7">
    <mergeCell ref="F7:G7"/>
    <mergeCell ref="A1:D1"/>
    <mergeCell ref="A2:B2"/>
    <mergeCell ref="C2:D2"/>
    <mergeCell ref="A3:B4"/>
    <mergeCell ref="C3:D4"/>
    <mergeCell ref="A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nerate_branches_report">
                <anchor moveWithCells="1" sizeWithCells="1">
                  <from>
                    <xdr:col>1</xdr:col>
                    <xdr:colOff>676275</xdr:colOff>
                    <xdr:row>4</xdr:row>
                    <xdr:rowOff>161925</xdr:rowOff>
                  </from>
                  <to>
                    <xdr:col>3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1"/>
  <sheetViews>
    <sheetView workbookViewId="0">
      <selection activeCell="D11" sqref="D11"/>
    </sheetView>
  </sheetViews>
  <sheetFormatPr defaultColWidth="0" defaultRowHeight="15.75" x14ac:dyDescent="0.25"/>
  <cols>
    <col min="1" max="3" width="15.625" style="70" customWidth="1"/>
    <col min="4" max="4" width="15.625" style="71" customWidth="1"/>
    <col min="5" max="5" width="15.625" style="72" customWidth="1"/>
    <col min="6" max="12" width="15.625" style="70" customWidth="1"/>
    <col min="13" max="16384" width="8.5" hidden="1"/>
  </cols>
  <sheetData>
    <row r="1" spans="1:12" x14ac:dyDescent="0.25">
      <c r="A1" s="67" t="s">
        <v>40</v>
      </c>
      <c r="B1" s="69"/>
      <c r="C1" s="50"/>
      <c r="D1" s="15"/>
      <c r="E1" s="15"/>
      <c r="F1" s="15"/>
      <c r="G1" s="15"/>
      <c r="H1" s="15"/>
      <c r="I1" s="15"/>
      <c r="J1" s="15"/>
      <c r="K1" s="15"/>
      <c r="L1" s="15"/>
    </row>
    <row r="2" spans="1:12" x14ac:dyDescent="0.25">
      <c r="A2" s="67"/>
      <c r="B2" s="69"/>
      <c r="C2" s="50"/>
      <c r="D2" s="15"/>
      <c r="E2" s="15"/>
      <c r="F2" s="15"/>
      <c r="G2" s="15"/>
      <c r="H2" s="15"/>
      <c r="I2" s="15"/>
      <c r="J2" s="15"/>
      <c r="K2" s="15"/>
      <c r="L2" s="15"/>
    </row>
    <row r="3" spans="1:12" x14ac:dyDescent="0.25">
      <c r="A3" s="44"/>
      <c r="B3" s="50"/>
      <c r="C3" s="50"/>
      <c r="D3" s="15"/>
      <c r="E3" s="15"/>
      <c r="F3" s="15"/>
      <c r="G3" s="15"/>
      <c r="H3" s="15"/>
      <c r="I3" s="15"/>
      <c r="J3" s="15"/>
      <c r="K3" s="15"/>
      <c r="L3" s="15"/>
    </row>
    <row r="4" spans="1:12" x14ac:dyDescent="0.25">
      <c r="A4" s="44"/>
      <c r="B4" s="50"/>
      <c r="C4" s="50"/>
      <c r="D4" s="15"/>
      <c r="E4" s="15"/>
      <c r="F4" s="15"/>
      <c r="G4" s="15"/>
      <c r="H4" s="15"/>
      <c r="I4" s="15"/>
      <c r="J4" s="15"/>
      <c r="K4" s="15"/>
      <c r="L4" s="15"/>
    </row>
    <row r="5" spans="1:12" x14ac:dyDescent="0.25">
      <c r="A5" s="44"/>
      <c r="B5" s="50"/>
      <c r="C5" s="50"/>
      <c r="D5" s="15"/>
      <c r="E5" s="15"/>
      <c r="F5" s="15"/>
      <c r="G5" s="15"/>
      <c r="H5" s="15"/>
      <c r="I5" s="15"/>
      <c r="J5" s="15"/>
      <c r="K5" s="15"/>
      <c r="L5" s="15"/>
    </row>
    <row r="6" spans="1:12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1:12" x14ac:dyDescent="0.25">
      <c r="A7" s="68" t="s">
        <v>41</v>
      </c>
      <c r="B7" s="68" t="s">
        <v>42</v>
      </c>
      <c r="C7" s="68" t="s">
        <v>58</v>
      </c>
      <c r="D7" s="68" t="s">
        <v>28</v>
      </c>
      <c r="E7" s="68" t="s">
        <v>17</v>
      </c>
      <c r="F7" s="68" t="s">
        <v>47</v>
      </c>
      <c r="G7" s="68" t="s">
        <v>43</v>
      </c>
      <c r="H7" s="68" t="s">
        <v>60</v>
      </c>
      <c r="I7" s="68" t="s">
        <v>57</v>
      </c>
      <c r="J7" s="68" t="s">
        <v>61</v>
      </c>
      <c r="K7" s="68" t="s">
        <v>62</v>
      </c>
      <c r="L7" s="68" t="s">
        <v>44</v>
      </c>
    </row>
    <row r="8" spans="1:12" ht="24.75" x14ac:dyDescent="0.25">
      <c r="A8" s="70">
        <v>12345678</v>
      </c>
      <c r="B8" s="70" t="s">
        <v>63</v>
      </c>
      <c r="C8" s="70" t="s">
        <v>67</v>
      </c>
      <c r="D8" s="71" t="s">
        <v>39</v>
      </c>
      <c r="E8" s="72" t="s">
        <v>4</v>
      </c>
      <c r="F8" s="73">
        <v>43037.747916666667</v>
      </c>
      <c r="G8" s="70" t="s">
        <v>73</v>
      </c>
      <c r="H8" s="70" t="s">
        <v>65</v>
      </c>
      <c r="I8" s="70">
        <v>79115117782</v>
      </c>
      <c r="L8" s="70" t="s">
        <v>72</v>
      </c>
    </row>
    <row r="9" spans="1:12" ht="24.75" x14ac:dyDescent="0.25">
      <c r="A9" s="70">
        <v>12345679</v>
      </c>
      <c r="B9" s="70" t="s">
        <v>68</v>
      </c>
      <c r="C9" s="70" t="s">
        <v>59</v>
      </c>
      <c r="D9" s="71" t="s">
        <v>2</v>
      </c>
      <c r="E9" s="72" t="s">
        <v>4</v>
      </c>
      <c r="F9" s="73">
        <v>43037.745833333334</v>
      </c>
      <c r="G9" s="70" t="s">
        <v>71</v>
      </c>
      <c r="H9" s="70" t="s">
        <v>65</v>
      </c>
      <c r="I9" s="70">
        <v>79168226322</v>
      </c>
      <c r="J9" s="70">
        <v>78432221500</v>
      </c>
      <c r="K9" s="70">
        <v>101</v>
      </c>
      <c r="L9" s="70" t="s">
        <v>69</v>
      </c>
    </row>
    <row r="10" spans="1:12" ht="24.75" x14ac:dyDescent="0.25">
      <c r="A10" s="70">
        <v>12345679</v>
      </c>
      <c r="B10" s="70" t="s">
        <v>68</v>
      </c>
      <c r="C10" s="70" t="s">
        <v>59</v>
      </c>
      <c r="D10" s="71" t="s">
        <v>35</v>
      </c>
      <c r="E10" s="72" t="s">
        <v>6</v>
      </c>
      <c r="F10" s="73">
        <v>43037.746527777781</v>
      </c>
      <c r="G10" s="70" t="s">
        <v>71</v>
      </c>
      <c r="H10" s="70" t="s">
        <v>65</v>
      </c>
      <c r="I10" s="70">
        <v>79168226322</v>
      </c>
      <c r="J10" s="70">
        <v>78432221500</v>
      </c>
      <c r="K10" s="70">
        <v>101</v>
      </c>
      <c r="L10" s="70" t="s">
        <v>69</v>
      </c>
    </row>
    <row r="11" spans="1:12" x14ac:dyDescent="0.25">
      <c r="F11" s="73"/>
    </row>
  </sheetData>
  <autoFilter ref="A7:L7"/>
  <mergeCells count="1">
    <mergeCell ref="A1:C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_all_clients">
                <anchor moveWithCells="1" sizeWithCells="1">
                  <from>
                    <xdr:col>1</xdr:col>
                    <xdr:colOff>790575</xdr:colOff>
                    <xdr:row>3</xdr:row>
                    <xdr:rowOff>142875</xdr:rowOff>
                  </from>
                  <to>
                    <xdr:col>2</xdr:col>
                    <xdr:colOff>962025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W5"/>
  <sheetViews>
    <sheetView workbookViewId="0">
      <selection activeCell="W1" sqref="A1:W6"/>
    </sheetView>
  </sheetViews>
  <sheetFormatPr defaultRowHeight="15.75" x14ac:dyDescent="0.25"/>
  <sheetData>
    <row r="1" spans="3:23" x14ac:dyDescent="0.25">
      <c r="C1">
        <v>1</v>
      </c>
      <c r="D1" t="s">
        <v>1</v>
      </c>
      <c r="E1">
        <v>12345678</v>
      </c>
      <c r="F1" t="s">
        <v>63</v>
      </c>
      <c r="G1">
        <v>1</v>
      </c>
      <c r="H1" t="s">
        <v>2</v>
      </c>
      <c r="I1">
        <v>12345678</v>
      </c>
      <c r="J1" t="s">
        <v>63</v>
      </c>
      <c r="K1">
        <v>15</v>
      </c>
      <c r="L1" t="s">
        <v>66</v>
      </c>
      <c r="Q1">
        <v>3</v>
      </c>
      <c r="R1" t="s">
        <v>4</v>
      </c>
      <c r="T1">
        <v>5</v>
      </c>
      <c r="U1" t="s">
        <v>64</v>
      </c>
      <c r="V1">
        <v>1</v>
      </c>
      <c r="W1" t="s">
        <v>1</v>
      </c>
    </row>
    <row r="2" spans="3:23" x14ac:dyDescent="0.25">
      <c r="C2">
        <v>2</v>
      </c>
      <c r="D2" t="s">
        <v>37</v>
      </c>
      <c r="E2">
        <v>12345679</v>
      </c>
      <c r="F2" t="s">
        <v>68</v>
      </c>
      <c r="G2">
        <v>2</v>
      </c>
      <c r="H2" t="s">
        <v>34</v>
      </c>
      <c r="I2">
        <v>12345679</v>
      </c>
      <c r="J2" t="s">
        <v>68</v>
      </c>
      <c r="K2">
        <v>13</v>
      </c>
      <c r="L2" t="s">
        <v>70</v>
      </c>
      <c r="Q2">
        <v>4</v>
      </c>
      <c r="R2" t="s">
        <v>5</v>
      </c>
      <c r="V2">
        <v>2</v>
      </c>
      <c r="W2" t="s">
        <v>37</v>
      </c>
    </row>
    <row r="3" spans="3:23" x14ac:dyDescent="0.25">
      <c r="C3">
        <v>3</v>
      </c>
      <c r="D3" t="s">
        <v>38</v>
      </c>
      <c r="G3">
        <v>3</v>
      </c>
      <c r="H3" t="s">
        <v>35</v>
      </c>
      <c r="Q3">
        <v>5</v>
      </c>
      <c r="R3" t="s">
        <v>6</v>
      </c>
      <c r="V3">
        <v>3</v>
      </c>
      <c r="W3" t="s">
        <v>38</v>
      </c>
    </row>
    <row r="4" spans="3:23" x14ac:dyDescent="0.25">
      <c r="G4">
        <v>4</v>
      </c>
      <c r="H4" t="s">
        <v>39</v>
      </c>
      <c r="Q4">
        <v>7</v>
      </c>
      <c r="R4" t="s">
        <v>36</v>
      </c>
    </row>
    <row r="5" spans="3:23" x14ac:dyDescent="0.25">
      <c r="Q5">
        <v>8</v>
      </c>
      <c r="R5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management</vt:lpstr>
      <vt:lpstr>branches_report</vt:lpstr>
      <vt:lpstr>clients</vt:lpstr>
      <vt:lpstr>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Milovanoff</cp:lastModifiedBy>
  <dcterms:created xsi:type="dcterms:W3CDTF">2015-01-25T11:31:25Z</dcterms:created>
  <dcterms:modified xsi:type="dcterms:W3CDTF">2017-10-29T15:17:45Z</dcterms:modified>
</cp:coreProperties>
</file>